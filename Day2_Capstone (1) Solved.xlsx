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l Excel sheet\"/>
    </mc:Choice>
  </mc:AlternateContent>
  <xr:revisionPtr revIDLastSave="0" documentId="8_{451DA7B6-EADC-4C4A-890C-6C0807E1388E}" xr6:coauthVersionLast="47" xr6:coauthVersionMax="47" xr10:uidLastSave="{00000000-0000-0000-0000-000000000000}"/>
  <bookViews>
    <workbookView xWindow="-120" yWindow="-120" windowWidth="24240" windowHeight="13140" xr2:uid="{68DF9F7B-45CF-4967-BE17-96FA1CC8F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5" i="1"/>
  <c r="H11" i="1"/>
  <c r="H13" i="1"/>
  <c r="G3" i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H12" i="1" s="1"/>
  <c r="G13" i="1"/>
  <c r="G2" i="1"/>
  <c r="H2" i="1" s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<sst xmlns="http://schemas.openxmlformats.org/spreadsheetml/2006/main" count="56" uniqueCount="38">
  <si>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</si>
  <si>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</si>
  <si>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</si>
  <si>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</si>
  <si>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</si>
  <si>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</si>
  <si>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</si>
  <si>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</si>
  <si>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</si>
  <si>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</si>
  <si>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</si>
  <si>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</si>
  <si>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</si>
  <si>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</si>
  <si>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</si>
  <si>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</si>
  <si>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</si>
  <si>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</si>
  <si>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</si>
  <si>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</si>
  <si>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</si>
  <si>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</si>
  <si>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</si>
  <si>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</si>
  <si>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</si>
  <si>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</si>
  <si>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</si>
  <si>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</si>
  <si>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</si>
  <si>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</si>
  <si>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</si>
  <si>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</si>
  <si>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</si>
  <si>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</si>
  <si>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</si>
  <si>
    <t>State</t>
  </si>
  <si>
    <t>Warehouse Note</t>
  </si>
  <si>
    <t>Urgent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</si>
</sst>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90BB2-6BF8-47B7-9620-8FB2C6826DB7}" name="Table1" displayName="Table1" ref="A1:H13" totalsRowShown="0" headerRowDxfId="0" dataDxfId="1" headerRowBorderDxfId="11" tableBorderDxfId="12" totalsRowBorderDxfId="10">
  <autoFilter ref="A1:H13" xr:uid="{92990BB2-6BF8-47B7-9620-8FB2C6826DB7}"/>
  <tableColumns count="8">
    <tableColumn id="1" xr3:uid="{8F98B814-CAE3-4927-BEE2-7AC97273ADD8}" name="OrderID" dataDxfId="9"/>
    <tableColumn id="2" xr3:uid="{82A31CEE-CC5A-4FCC-B36E-DFA4546D2877}" name="RegionCode" dataDxfId="8"/>
    <tableColumn id="3" xr3:uid="{549660E5-1179-4BDF-A744-5B897A3058BD}" name="Status" dataDxfId="7"/>
    <tableColumn id="4" xr3:uid="{7179D34C-4934-4845-9550-C38923AF7DD0}" name="ItemCount" dataDxfId="6"/>
    <tableColumn id="5" xr3:uid="{B811A47D-836B-48A6-8D50-3EF8716A37AC}" name="Priority" dataDxfId="5"/>
    <tableColumn id="6" xr3:uid="{CD24F254-3193-47E9-9022-8338F4F047C7}" name="State" dataDxfId="4">
      <calculatedColumnFormula>LEFT(B2,2)</calculatedColumnFormula>
    </tableColumn>
    <tableColumn id="7" xr3:uid="{4D4DDA9B-42E5-4CF6-AAA7-E62997E64EB1}" name="Urgent Ship" dataDxfId="3">
      <calculatedColumnFormula>IF(D2&lt;5, "SHIP NOW"," HOLD")</calculatedColumnFormula>
    </tableColumn>
    <tableColumn id="8" xr3:uid="{1CDA4C0F-6070-4BC8-AB00-B71ADB12850D}" name="Warehouse Note" dataDxfId="2">
      <calculatedColumnFormula>IF(G2="SHIP NOW",G2&amp; "- "&amp;"RUSH ORDER",G2&amp;"-"&amp;"WAIT")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H13"/>
  <sheetViews>
    <sheetView tabSelected="1" workbookViewId="0">
      <selection sqref="A1:H13"/>
    </sheetView>
  </sheetViews>
  <sheetFormatPr defaultRowHeight="15" x14ac:dyDescent="0.25"/>
  <cols>
    <col min="1" max="1" width="10.140625" customWidth="1"/>
    <col min="2" max="2" width="13.85546875" customWidth="1"/>
    <col min="4" max="4" width="12.5703125" customWidth="1"/>
    <col min="5" max="5" width="9.7109375" customWidth="1"/>
    <col min="7" max="7" width="13.5703125" customWidth="1"/>
    <col min="8" max="8" width="22.85546875" bestFit="1" customWidth="1"/>
  </cols>
  <sheetData>
    <row r="1" spans="1: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35</v>
      </c>
      <c r="G1" s="5" t="s">
        <v>37</v>
      </c>
      <c r="H1" s="6" t="s">
        <v>36</v>
      </c>
    </row>
    <row r="2" spans="1:8" x14ac:dyDescent="0.25">
      <c r="A2" s="2" t="s">
        <v>5</v>
      </c>
      <c r="B2" s="1" t="s">
        <v>6</v>
      </c>
      <c r="C2" s="1" t="s">
        <v>7</v>
      </c>
      <c r="D2" s="1">
        <v>3</v>
      </c>
      <c r="E2" s="1" t="s">
        <v>8</v>
      </c>
      <c r="F2" s="1" t="str">
        <f>LEFT(B2,2)</f>
        <v>TX</v>
      </c>
      <c r="G2" s="1" t="str">
        <f>IF(D2&lt;5, "SHIP NOW"," HOLD")</f>
        <v>SHIP NOW</v>
      </c>
      <c r="H2" s="3" t="str">
        <f>IF(G2="SHIP NOW",G2&amp; "- "&amp;"RUSH ORDER",G2&amp;"-"&amp;"WAIT")</f>
        <v>SHIP NOW- RUSH ORDER</v>
      </c>
    </row>
    <row r="3" spans="1:8" x14ac:dyDescent="0.25">
      <c r="A3" s="2" t="s">
        <v>9</v>
      </c>
      <c r="B3" s="1" t="s">
        <v>10</v>
      </c>
      <c r="C3" s="1" t="s">
        <v>11</v>
      </c>
      <c r="D3" s="1">
        <v>12</v>
      </c>
      <c r="E3" s="1" t="s">
        <v>12</v>
      </c>
      <c r="F3" s="1" t="str">
        <f t="shared" ref="F3:F13" si="0">LEFT(B3,2)</f>
        <v>NY</v>
      </c>
      <c r="G3" s="1" t="str">
        <f t="shared" ref="G3:G13" si="1">IF(D3&lt;5, "SHIP NOW"," HOLD")</f>
        <v xml:space="preserve"> HOLD</v>
      </c>
      <c r="H3" s="3" t="str">
        <f>IF(G3="SHIP NOW",G3&amp; "- "&amp;"RUSH ORDER",G3&amp;"-"&amp;"WAIT")</f>
        <v xml:space="preserve"> HOLD-WAIT</v>
      </c>
    </row>
    <row r="4" spans="1:8" x14ac:dyDescent="0.25">
      <c r="A4" s="2" t="s">
        <v>13</v>
      </c>
      <c r="B4" s="1" t="s">
        <v>14</v>
      </c>
      <c r="C4" s="1" t="s">
        <v>7</v>
      </c>
      <c r="D4" s="1">
        <v>8</v>
      </c>
      <c r="E4" s="1" t="s">
        <v>15</v>
      </c>
      <c r="F4" s="1" t="str">
        <f t="shared" si="0"/>
        <v>CA</v>
      </c>
      <c r="G4" s="1" t="str">
        <f t="shared" si="1"/>
        <v xml:space="preserve"> HOLD</v>
      </c>
      <c r="H4" s="3" t="str">
        <f t="shared" ref="H3:H13" si="2">IF(G4="SHIP NOW",G4&amp; "- "&amp;"RUSH ORDER",G4&amp;"-"&amp;"WAIT")</f>
        <v xml:space="preserve"> HOLD-WAIT</v>
      </c>
    </row>
    <row r="5" spans="1:8" x14ac:dyDescent="0.25">
      <c r="A5" s="2" t="s">
        <v>16</v>
      </c>
      <c r="B5" s="1" t="s">
        <v>17</v>
      </c>
      <c r="C5" s="1" t="s">
        <v>7</v>
      </c>
      <c r="D5" s="1">
        <v>2</v>
      </c>
      <c r="E5" s="1" t="s">
        <v>8</v>
      </c>
      <c r="F5" s="1" t="str">
        <f t="shared" si="0"/>
        <v>FL</v>
      </c>
      <c r="G5" s="1" t="str">
        <f t="shared" si="1"/>
        <v>SHIP NOW</v>
      </c>
      <c r="H5" s="3" t="str">
        <f t="shared" si="2"/>
        <v>SHIP NOW- RUSH ORDER</v>
      </c>
    </row>
    <row r="6" spans="1:8" x14ac:dyDescent="0.25">
      <c r="A6" s="2" t="s">
        <v>18</v>
      </c>
      <c r="B6" s="1" t="s">
        <v>19</v>
      </c>
      <c r="C6" s="1" t="s">
        <v>20</v>
      </c>
      <c r="D6" s="1">
        <v>1</v>
      </c>
      <c r="E6" s="1" t="s">
        <v>15</v>
      </c>
      <c r="F6" s="1" t="str">
        <f t="shared" si="0"/>
        <v>TX</v>
      </c>
      <c r="G6" s="1" t="str">
        <f t="shared" si="1"/>
        <v>SHIP NOW</v>
      </c>
      <c r="H6" s="3" t="str">
        <f t="shared" si="2"/>
        <v>SHIP NOW- RUSH ORDER</v>
      </c>
    </row>
    <row r="7" spans="1:8" x14ac:dyDescent="0.25">
      <c r="A7" s="2" t="s">
        <v>21</v>
      </c>
      <c r="B7" s="1" t="s">
        <v>22</v>
      </c>
      <c r="C7" s="1" t="s">
        <v>7</v>
      </c>
      <c r="D7" s="1">
        <v>4</v>
      </c>
      <c r="E7" s="1" t="s">
        <v>12</v>
      </c>
      <c r="F7" s="1" t="str">
        <f t="shared" si="0"/>
        <v>WA</v>
      </c>
      <c r="G7" s="1" t="str">
        <f t="shared" si="1"/>
        <v>SHIP NOW</v>
      </c>
      <c r="H7" s="3" t="str">
        <f t="shared" si="2"/>
        <v>SHIP NOW- RUSH ORDER</v>
      </c>
    </row>
    <row r="8" spans="1:8" x14ac:dyDescent="0.25">
      <c r="A8" s="2" t="s">
        <v>23</v>
      </c>
      <c r="B8" s="1" t="s">
        <v>24</v>
      </c>
      <c r="C8" s="1" t="s">
        <v>7</v>
      </c>
      <c r="D8" s="1">
        <v>10</v>
      </c>
      <c r="E8" s="1" t="s">
        <v>8</v>
      </c>
      <c r="F8" s="1" t="str">
        <f t="shared" si="0"/>
        <v>NY</v>
      </c>
      <c r="G8" s="1" t="str">
        <f t="shared" si="1"/>
        <v xml:space="preserve"> HOLD</v>
      </c>
      <c r="H8" s="3" t="str">
        <f t="shared" si="2"/>
        <v xml:space="preserve"> HOLD-WAIT</v>
      </c>
    </row>
    <row r="9" spans="1:8" x14ac:dyDescent="0.25">
      <c r="A9" s="2" t="s">
        <v>25</v>
      </c>
      <c r="B9" s="1" t="s">
        <v>26</v>
      </c>
      <c r="C9" s="1" t="s">
        <v>11</v>
      </c>
      <c r="D9" s="1">
        <v>5</v>
      </c>
      <c r="E9" s="1" t="s">
        <v>12</v>
      </c>
      <c r="F9" s="1" t="str">
        <f t="shared" si="0"/>
        <v>CA</v>
      </c>
      <c r="G9" s="1" t="str">
        <f t="shared" si="1"/>
        <v xml:space="preserve"> HOLD</v>
      </c>
      <c r="H9" s="3" t="str">
        <f t="shared" si="2"/>
        <v xml:space="preserve"> HOLD-WAIT</v>
      </c>
    </row>
    <row r="10" spans="1:8" x14ac:dyDescent="0.25">
      <c r="A10" s="2" t="s">
        <v>27</v>
      </c>
      <c r="B10" s="1" t="s">
        <v>28</v>
      </c>
      <c r="C10" s="1" t="s">
        <v>7</v>
      </c>
      <c r="D10" s="1">
        <v>1</v>
      </c>
      <c r="E10" s="1" t="s">
        <v>8</v>
      </c>
      <c r="F10" s="1" t="str">
        <f t="shared" si="0"/>
        <v>IL</v>
      </c>
      <c r="G10" s="1" t="str">
        <f t="shared" si="1"/>
        <v>SHIP NOW</v>
      </c>
      <c r="H10" s="3" t="str">
        <f t="shared" si="2"/>
        <v>SHIP NOW- RUSH ORDER</v>
      </c>
    </row>
    <row r="11" spans="1:8" x14ac:dyDescent="0.25">
      <c r="A11" s="2" t="s">
        <v>29</v>
      </c>
      <c r="B11" s="1" t="s">
        <v>30</v>
      </c>
      <c r="C11" s="1" t="s">
        <v>7</v>
      </c>
      <c r="D11" s="1">
        <v>6</v>
      </c>
      <c r="E11" s="1" t="s">
        <v>15</v>
      </c>
      <c r="F11" s="1" t="str">
        <f t="shared" si="0"/>
        <v>FL</v>
      </c>
      <c r="G11" s="1" t="str">
        <f t="shared" si="1"/>
        <v xml:space="preserve"> HOLD</v>
      </c>
      <c r="H11" s="3" t="str">
        <f t="shared" si="2"/>
        <v xml:space="preserve"> HOLD-WAIT</v>
      </c>
    </row>
    <row r="12" spans="1:8" x14ac:dyDescent="0.25">
      <c r="A12" s="2" t="s">
        <v>31</v>
      </c>
      <c r="B12" s="1" t="s">
        <v>32</v>
      </c>
      <c r="C12" s="1" t="s">
        <v>7</v>
      </c>
      <c r="D12" s="1">
        <v>15</v>
      </c>
      <c r="E12" s="1" t="s">
        <v>12</v>
      </c>
      <c r="F12" s="1" t="str">
        <f t="shared" si="0"/>
        <v>NV</v>
      </c>
      <c r="G12" s="1" t="str">
        <f t="shared" si="1"/>
        <v xml:space="preserve"> HOLD</v>
      </c>
      <c r="H12" s="3" t="str">
        <f t="shared" si="2"/>
        <v xml:space="preserve"> HOLD-WAIT</v>
      </c>
    </row>
    <row r="13" spans="1:8" x14ac:dyDescent="0.25">
      <c r="A13" s="7" t="s">
        <v>33</v>
      </c>
      <c r="B13" s="8" t="s">
        <v>34</v>
      </c>
      <c r="C13" s="8" t="s">
        <v>7</v>
      </c>
      <c r="D13" s="8">
        <v>3</v>
      </c>
      <c r="E13" s="8" t="s">
        <v>8</v>
      </c>
      <c r="F13" s="8" t="str">
        <f t="shared" si="0"/>
        <v>OH</v>
      </c>
      <c r="G13" s="8" t="str">
        <f t="shared" si="1"/>
        <v>SHIP NOW</v>
      </c>
      <c r="H13" s="9" t="str">
        <f t="shared" si="2"/>
        <v>SHIP NOW- RUSH ORDER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2025-11-29T11:21:04Z</dcterms:created>
  <dcterms:modified xsi:type="dcterms:W3CDTF">2025-12-14T17:28:46Z</dcterms:modified>
</cp:coreProperties>
</file>